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2c0f9bfeff9e67/Documents/Projects/Lucid Mask/Processing/Heat_Cam/"/>
    </mc:Choice>
  </mc:AlternateContent>
  <xr:revisionPtr revIDLastSave="58" documentId="8_{26173F89-EB97-4B1F-ABDD-2C37EE260654}" xr6:coauthVersionLast="47" xr6:coauthVersionMax="47" xr10:uidLastSave="{01EEDEA6-90FB-4397-B386-5D423222DF9A}"/>
  <bookViews>
    <workbookView xWindow="-98" yWindow="-98" windowWidth="20715" windowHeight="13875" activeTab="1" xr2:uid="{CE510541-34B9-4221-97C2-F0211C2E5A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6" i="2"/>
  <c r="I5" i="2"/>
  <c r="I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2" i="2"/>
  <c r="I2" i="2"/>
  <c r="D12" i="2"/>
  <c r="D13" i="2"/>
  <c r="D14" i="2"/>
  <c r="D15" i="2"/>
  <c r="D17" i="2"/>
  <c r="D18" i="2"/>
  <c r="D19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9" i="2"/>
  <c r="D40" i="2"/>
  <c r="D41" i="2"/>
  <c r="D42" i="2"/>
  <c r="D43" i="2"/>
  <c r="D44" i="2"/>
  <c r="D45" i="2"/>
  <c r="D46" i="2"/>
  <c r="D47" i="2"/>
  <c r="D48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K10" i="1"/>
  <c r="K6" i="1"/>
  <c r="K5" i="1"/>
  <c r="K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K3" i="1"/>
  <c r="I3" i="2" l="1"/>
</calcChain>
</file>

<file path=xl/sharedStrings.xml><?xml version="1.0" encoding="utf-8"?>
<sst xmlns="http://schemas.openxmlformats.org/spreadsheetml/2006/main" count="225" uniqueCount="23">
  <si>
    <t>sumSquared =  1834.5</t>
  </si>
  <si>
    <t>sumSquared^2 =  3365390.2</t>
  </si>
  <si>
    <t>squaredSum =  52608.625</t>
  </si>
  <si>
    <t>?(xi2) - (? xi)2 -3312781.5</t>
  </si>
  <si>
    <t>Std. Dev. =  -51762.21</t>
  </si>
  <si>
    <t>Temp</t>
  </si>
  <si>
    <t>=</t>
  </si>
  <si>
    <t>SUMQ</t>
  </si>
  <si>
    <t>^2</t>
  </si>
  <si>
    <t>SUM</t>
  </si>
  <si>
    <t>std dev</t>
  </si>
  <si>
    <t>Sum^2</t>
  </si>
  <si>
    <t>Sum^2/q</t>
  </si>
  <si>
    <t>Sumq - sum^2/q</t>
  </si>
  <si>
    <t>sum =  1414.5</t>
  </si>
  <si>
    <t>sum^2 =  2000810.2</t>
  </si>
  <si>
    <t>sumQ =  31422.75</t>
  </si>
  <si>
    <t>sum / q = 31262.66</t>
  </si>
  <si>
    <t>Std. Dev. =  160.08984</t>
  </si>
  <si>
    <t>sum</t>
  </si>
  <si>
    <t>SumQ</t>
  </si>
  <si>
    <t>sum^2</t>
  </si>
  <si>
    <t>sum^2/q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</si>
</sst>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06E5-C9A3-48E0-83EC-137773B12794}">
  <dimension ref="A1:M65"/>
  <sheetViews>
    <sheetView topLeftCell="D1" zoomScaleNormal="100" workbookViewId="0">
      <selection activeCell="K6" sqref="K6"/>
    </sheetView>
  </sheetViews>
  <sheetFormatPr defaultRowHeight="14.25" x14ac:dyDescent="0.45"/>
  <cols>
    <col min="10" max="10" width="13.6640625" bestFit="1" customWidth="1"/>
  </cols>
  <sheetData>
    <row r="1" spans="1:13" x14ac:dyDescent="0.45">
      <c r="E1" t="s">
        <v>8</v>
      </c>
    </row>
    <row r="2" spans="1:13" x14ac:dyDescent="0.45">
      <c r="A2" t="s">
        <v>5</v>
      </c>
      <c r="B2">
        <v>0</v>
      </c>
      <c r="C2" t="s">
        <v>6</v>
      </c>
      <c r="D2">
        <v>27.75</v>
      </c>
      <c r="E2">
        <f>D2*D2</f>
        <v>770.0625</v>
      </c>
      <c r="M2" t="s">
        <v>0</v>
      </c>
    </row>
    <row r="3" spans="1:13" x14ac:dyDescent="0.45">
      <c r="A3" t="s">
        <v>5</v>
      </c>
      <c r="B3">
        <v>1</v>
      </c>
      <c r="C3" t="s">
        <v>6</v>
      </c>
      <c r="D3">
        <v>29</v>
      </c>
      <c r="E3">
        <f t="shared" ref="E3:E65" si="0">D3*D3</f>
        <v>841</v>
      </c>
      <c r="J3" t="s">
        <v>7</v>
      </c>
      <c r="K3">
        <f>SUMSQ(D2:D65)</f>
        <v>52608.625</v>
      </c>
      <c r="M3" t="s">
        <v>1</v>
      </c>
    </row>
    <row r="4" spans="1:13" x14ac:dyDescent="0.45">
      <c r="A4" t="s">
        <v>5</v>
      </c>
      <c r="B4">
        <v>2</v>
      </c>
      <c r="C4" t="s">
        <v>6</v>
      </c>
      <c r="D4">
        <v>27.5</v>
      </c>
      <c r="E4">
        <f t="shared" si="0"/>
        <v>756.25</v>
      </c>
      <c r="J4" t="s">
        <v>9</v>
      </c>
      <c r="K4">
        <f>SUM(D2:D65)</f>
        <v>1834.5</v>
      </c>
      <c r="M4" t="s">
        <v>2</v>
      </c>
    </row>
    <row r="5" spans="1:13" x14ac:dyDescent="0.45">
      <c r="A5" t="s">
        <v>5</v>
      </c>
      <c r="B5">
        <v>3</v>
      </c>
      <c r="C5" t="s">
        <v>6</v>
      </c>
      <c r="D5">
        <v>27.75</v>
      </c>
      <c r="E5">
        <f t="shared" si="0"/>
        <v>770.0625</v>
      </c>
      <c r="J5" t="s">
        <v>11</v>
      </c>
      <c r="K5">
        <f>K4*K4</f>
        <v>3365390.25</v>
      </c>
      <c r="M5" t="s">
        <v>3</v>
      </c>
    </row>
    <row r="6" spans="1:13" x14ac:dyDescent="0.45">
      <c r="A6" t="s">
        <v>5</v>
      </c>
      <c r="B6">
        <v>4</v>
      </c>
      <c r="C6" t="s">
        <v>6</v>
      </c>
      <c r="D6">
        <v>28</v>
      </c>
      <c r="E6">
        <f t="shared" si="0"/>
        <v>784</v>
      </c>
      <c r="J6" t="s">
        <v>12</v>
      </c>
      <c r="K6">
        <f>K5/64</f>
        <v>52584.22265625</v>
      </c>
      <c r="M6" t="s">
        <v>4</v>
      </c>
    </row>
    <row r="7" spans="1:13" x14ac:dyDescent="0.45">
      <c r="A7" t="s">
        <v>5</v>
      </c>
      <c r="B7">
        <v>5</v>
      </c>
      <c r="C7" t="s">
        <v>6</v>
      </c>
      <c r="D7">
        <v>27.5</v>
      </c>
      <c r="E7">
        <f t="shared" si="0"/>
        <v>756.25</v>
      </c>
      <c r="J7" t="s">
        <v>13</v>
      </c>
    </row>
    <row r="8" spans="1:13" x14ac:dyDescent="0.45">
      <c r="A8" t="s">
        <v>5</v>
      </c>
      <c r="B8">
        <v>6</v>
      </c>
      <c r="C8" t="s">
        <v>6</v>
      </c>
      <c r="D8">
        <v>27.5</v>
      </c>
      <c r="E8">
        <f t="shared" si="0"/>
        <v>756.25</v>
      </c>
    </row>
    <row r="9" spans="1:13" x14ac:dyDescent="0.45">
      <c r="A9" t="s">
        <v>5</v>
      </c>
      <c r="B9">
        <v>7</v>
      </c>
      <c r="C9" t="s">
        <v>6</v>
      </c>
      <c r="D9">
        <v>28.25</v>
      </c>
      <c r="E9">
        <f t="shared" si="0"/>
        <v>798.0625</v>
      </c>
    </row>
    <row r="10" spans="1:13" x14ac:dyDescent="0.45">
      <c r="A10" t="s">
        <v>5</v>
      </c>
      <c r="B10">
        <v>8</v>
      </c>
      <c r="C10" t="s">
        <v>6</v>
      </c>
      <c r="D10">
        <v>28.75</v>
      </c>
      <c r="E10">
        <f t="shared" si="0"/>
        <v>826.5625</v>
      </c>
      <c r="J10" t="s">
        <v>10</v>
      </c>
      <c r="K10">
        <f>K3-K6</f>
        <v>24.40234375</v>
      </c>
    </row>
    <row r="11" spans="1:13" x14ac:dyDescent="0.45">
      <c r="A11" t="s">
        <v>5</v>
      </c>
      <c r="B11">
        <v>9</v>
      </c>
      <c r="C11" t="s">
        <v>6</v>
      </c>
      <c r="D11">
        <v>28.25</v>
      </c>
      <c r="E11">
        <f t="shared" si="0"/>
        <v>798.0625</v>
      </c>
    </row>
    <row r="12" spans="1:13" x14ac:dyDescent="0.45">
      <c r="A12" t="s">
        <v>5</v>
      </c>
      <c r="B12">
        <v>10</v>
      </c>
      <c r="C12" t="s">
        <v>6</v>
      </c>
      <c r="D12">
        <v>28.25</v>
      </c>
      <c r="E12">
        <f t="shared" si="0"/>
        <v>798.0625</v>
      </c>
    </row>
    <row r="13" spans="1:13" x14ac:dyDescent="0.45">
      <c r="A13" t="s">
        <v>5</v>
      </c>
      <c r="B13">
        <v>11</v>
      </c>
      <c r="C13" t="s">
        <v>6</v>
      </c>
      <c r="D13">
        <v>28.25</v>
      </c>
      <c r="E13">
        <f t="shared" si="0"/>
        <v>798.0625</v>
      </c>
    </row>
    <row r="14" spans="1:13" x14ac:dyDescent="0.45">
      <c r="A14" t="s">
        <v>5</v>
      </c>
      <c r="B14">
        <v>12</v>
      </c>
      <c r="C14" t="s">
        <v>6</v>
      </c>
      <c r="D14">
        <v>28</v>
      </c>
      <c r="E14">
        <f t="shared" si="0"/>
        <v>784</v>
      </c>
    </row>
    <row r="15" spans="1:13" x14ac:dyDescent="0.45">
      <c r="A15" t="s">
        <v>5</v>
      </c>
      <c r="B15">
        <v>13</v>
      </c>
      <c r="C15" t="s">
        <v>6</v>
      </c>
      <c r="D15">
        <v>28.5</v>
      </c>
      <c r="E15">
        <f t="shared" si="0"/>
        <v>812.25</v>
      </c>
    </row>
    <row r="16" spans="1:13" x14ac:dyDescent="0.45">
      <c r="A16" t="s">
        <v>5</v>
      </c>
      <c r="B16">
        <v>14</v>
      </c>
      <c r="C16" t="s">
        <v>6</v>
      </c>
      <c r="D16">
        <v>28.75</v>
      </c>
      <c r="E16">
        <f t="shared" si="0"/>
        <v>826.5625</v>
      </c>
    </row>
    <row r="17" spans="1:5" x14ac:dyDescent="0.45">
      <c r="A17" t="s">
        <v>5</v>
      </c>
      <c r="B17">
        <v>15</v>
      </c>
      <c r="C17" t="s">
        <v>6</v>
      </c>
      <c r="D17">
        <v>28.25</v>
      </c>
      <c r="E17">
        <f t="shared" si="0"/>
        <v>798.0625</v>
      </c>
    </row>
    <row r="18" spans="1:5" x14ac:dyDescent="0.45">
      <c r="A18" t="s">
        <v>5</v>
      </c>
      <c r="B18">
        <v>16</v>
      </c>
      <c r="C18" t="s">
        <v>6</v>
      </c>
      <c r="D18">
        <v>29</v>
      </c>
      <c r="E18">
        <f t="shared" si="0"/>
        <v>841</v>
      </c>
    </row>
    <row r="19" spans="1:5" x14ac:dyDescent="0.45">
      <c r="A19" t="s">
        <v>5</v>
      </c>
      <c r="B19">
        <v>17</v>
      </c>
      <c r="C19" t="s">
        <v>6</v>
      </c>
      <c r="D19">
        <v>29</v>
      </c>
      <c r="E19">
        <f t="shared" si="0"/>
        <v>841</v>
      </c>
    </row>
    <row r="20" spans="1:5" x14ac:dyDescent="0.45">
      <c r="A20" t="s">
        <v>5</v>
      </c>
      <c r="B20">
        <v>18</v>
      </c>
      <c r="C20" t="s">
        <v>6</v>
      </c>
      <c r="D20">
        <v>28.25</v>
      </c>
      <c r="E20">
        <f t="shared" si="0"/>
        <v>798.0625</v>
      </c>
    </row>
    <row r="21" spans="1:5" x14ac:dyDescent="0.45">
      <c r="A21" t="s">
        <v>5</v>
      </c>
      <c r="B21">
        <v>19</v>
      </c>
      <c r="C21" t="s">
        <v>6</v>
      </c>
      <c r="D21">
        <v>28.25</v>
      </c>
      <c r="E21">
        <f t="shared" si="0"/>
        <v>798.0625</v>
      </c>
    </row>
    <row r="22" spans="1:5" x14ac:dyDescent="0.45">
      <c r="A22" t="s">
        <v>5</v>
      </c>
      <c r="B22">
        <v>20</v>
      </c>
      <c r="C22" t="s">
        <v>6</v>
      </c>
      <c r="D22">
        <v>29</v>
      </c>
      <c r="E22">
        <f t="shared" si="0"/>
        <v>841</v>
      </c>
    </row>
    <row r="23" spans="1:5" x14ac:dyDescent="0.45">
      <c r="A23" t="s">
        <v>5</v>
      </c>
      <c r="B23">
        <v>21</v>
      </c>
      <c r="C23" t="s">
        <v>6</v>
      </c>
      <c r="D23">
        <v>28.75</v>
      </c>
      <c r="E23">
        <f t="shared" si="0"/>
        <v>826.5625</v>
      </c>
    </row>
    <row r="24" spans="1:5" x14ac:dyDescent="0.45">
      <c r="A24" t="s">
        <v>5</v>
      </c>
      <c r="B24">
        <v>22</v>
      </c>
      <c r="C24" t="s">
        <v>6</v>
      </c>
      <c r="D24">
        <v>29</v>
      </c>
      <c r="E24">
        <f t="shared" si="0"/>
        <v>841</v>
      </c>
    </row>
    <row r="25" spans="1:5" x14ac:dyDescent="0.45">
      <c r="A25" t="s">
        <v>5</v>
      </c>
      <c r="B25">
        <v>23</v>
      </c>
      <c r="C25" t="s">
        <v>6</v>
      </c>
      <c r="D25">
        <v>29.5</v>
      </c>
      <c r="E25">
        <f t="shared" si="0"/>
        <v>870.25</v>
      </c>
    </row>
    <row r="26" spans="1:5" x14ac:dyDescent="0.45">
      <c r="A26" t="s">
        <v>5</v>
      </c>
      <c r="B26">
        <v>24</v>
      </c>
      <c r="C26" t="s">
        <v>6</v>
      </c>
      <c r="D26">
        <v>29</v>
      </c>
      <c r="E26">
        <f t="shared" si="0"/>
        <v>841</v>
      </c>
    </row>
    <row r="27" spans="1:5" x14ac:dyDescent="0.45">
      <c r="A27" t="s">
        <v>5</v>
      </c>
      <c r="B27">
        <v>25</v>
      </c>
      <c r="C27" t="s">
        <v>6</v>
      </c>
      <c r="D27">
        <v>28.75</v>
      </c>
      <c r="E27">
        <f t="shared" si="0"/>
        <v>826.5625</v>
      </c>
    </row>
    <row r="28" spans="1:5" x14ac:dyDescent="0.45">
      <c r="A28" t="s">
        <v>5</v>
      </c>
      <c r="B28">
        <v>26</v>
      </c>
      <c r="C28" t="s">
        <v>6</v>
      </c>
      <c r="D28">
        <v>28.25</v>
      </c>
      <c r="E28">
        <f t="shared" si="0"/>
        <v>798.0625</v>
      </c>
    </row>
    <row r="29" spans="1:5" x14ac:dyDescent="0.45">
      <c r="A29" t="s">
        <v>5</v>
      </c>
      <c r="B29">
        <v>27</v>
      </c>
      <c r="C29" t="s">
        <v>6</v>
      </c>
      <c r="D29">
        <v>28.5</v>
      </c>
      <c r="E29">
        <f t="shared" si="0"/>
        <v>812.25</v>
      </c>
    </row>
    <row r="30" spans="1:5" x14ac:dyDescent="0.45">
      <c r="A30" t="s">
        <v>5</v>
      </c>
      <c r="B30">
        <v>28</v>
      </c>
      <c r="C30" t="s">
        <v>6</v>
      </c>
      <c r="D30">
        <v>29</v>
      </c>
      <c r="E30">
        <f t="shared" si="0"/>
        <v>841</v>
      </c>
    </row>
    <row r="31" spans="1:5" x14ac:dyDescent="0.45">
      <c r="A31" t="s">
        <v>5</v>
      </c>
      <c r="B31">
        <v>29</v>
      </c>
      <c r="C31" t="s">
        <v>6</v>
      </c>
      <c r="D31">
        <v>29.25</v>
      </c>
      <c r="E31">
        <f t="shared" si="0"/>
        <v>855.5625</v>
      </c>
    </row>
    <row r="32" spans="1:5" x14ac:dyDescent="0.45">
      <c r="A32" t="s">
        <v>5</v>
      </c>
      <c r="B32">
        <v>30</v>
      </c>
      <c r="C32" t="s">
        <v>6</v>
      </c>
      <c r="D32">
        <v>28.75</v>
      </c>
      <c r="E32">
        <f t="shared" si="0"/>
        <v>826.5625</v>
      </c>
    </row>
    <row r="33" spans="1:5" x14ac:dyDescent="0.45">
      <c r="A33" t="s">
        <v>5</v>
      </c>
      <c r="B33">
        <v>31</v>
      </c>
      <c r="C33" t="s">
        <v>6</v>
      </c>
      <c r="D33">
        <v>29.75</v>
      </c>
      <c r="E33">
        <f t="shared" si="0"/>
        <v>885.0625</v>
      </c>
    </row>
    <row r="34" spans="1:5" x14ac:dyDescent="0.45">
      <c r="A34" t="s">
        <v>5</v>
      </c>
      <c r="B34">
        <v>32</v>
      </c>
      <c r="C34" t="s">
        <v>6</v>
      </c>
      <c r="D34">
        <v>29</v>
      </c>
      <c r="E34">
        <f t="shared" si="0"/>
        <v>841</v>
      </c>
    </row>
    <row r="35" spans="1:5" x14ac:dyDescent="0.45">
      <c r="A35" t="s">
        <v>5</v>
      </c>
      <c r="B35">
        <v>33</v>
      </c>
      <c r="C35" t="s">
        <v>6</v>
      </c>
      <c r="D35">
        <v>27.75</v>
      </c>
      <c r="E35">
        <f t="shared" si="0"/>
        <v>770.0625</v>
      </c>
    </row>
    <row r="36" spans="1:5" x14ac:dyDescent="0.45">
      <c r="A36" t="s">
        <v>5</v>
      </c>
      <c r="B36">
        <v>34</v>
      </c>
      <c r="C36" t="s">
        <v>6</v>
      </c>
      <c r="D36">
        <v>28.25</v>
      </c>
      <c r="E36">
        <f t="shared" si="0"/>
        <v>798.0625</v>
      </c>
    </row>
    <row r="37" spans="1:5" x14ac:dyDescent="0.45">
      <c r="A37" t="s">
        <v>5</v>
      </c>
      <c r="B37">
        <v>35</v>
      </c>
      <c r="C37" t="s">
        <v>6</v>
      </c>
      <c r="D37">
        <v>28.75</v>
      </c>
      <c r="E37">
        <f t="shared" si="0"/>
        <v>826.5625</v>
      </c>
    </row>
    <row r="38" spans="1:5" x14ac:dyDescent="0.45">
      <c r="A38" t="s">
        <v>5</v>
      </c>
      <c r="B38">
        <v>36</v>
      </c>
      <c r="C38" t="s">
        <v>6</v>
      </c>
      <c r="D38">
        <v>28.75</v>
      </c>
      <c r="E38">
        <f t="shared" si="0"/>
        <v>826.5625</v>
      </c>
    </row>
    <row r="39" spans="1:5" x14ac:dyDescent="0.45">
      <c r="A39" t="s">
        <v>5</v>
      </c>
      <c r="B39">
        <v>37</v>
      </c>
      <c r="C39" t="s">
        <v>6</v>
      </c>
      <c r="D39">
        <v>28.5</v>
      </c>
      <c r="E39">
        <f t="shared" si="0"/>
        <v>812.25</v>
      </c>
    </row>
    <row r="40" spans="1:5" x14ac:dyDescent="0.45">
      <c r="A40" t="s">
        <v>5</v>
      </c>
      <c r="B40">
        <v>38</v>
      </c>
      <c r="C40" t="s">
        <v>6</v>
      </c>
      <c r="D40">
        <v>29.25</v>
      </c>
      <c r="E40">
        <f t="shared" si="0"/>
        <v>855.5625</v>
      </c>
    </row>
    <row r="41" spans="1:5" x14ac:dyDescent="0.45">
      <c r="A41" t="s">
        <v>5</v>
      </c>
      <c r="B41">
        <v>39</v>
      </c>
      <c r="C41" t="s">
        <v>6</v>
      </c>
      <c r="D41">
        <v>29.25</v>
      </c>
      <c r="E41">
        <f t="shared" si="0"/>
        <v>855.5625</v>
      </c>
    </row>
    <row r="42" spans="1:5" x14ac:dyDescent="0.45">
      <c r="A42" t="s">
        <v>5</v>
      </c>
      <c r="B42">
        <v>40</v>
      </c>
      <c r="C42" t="s">
        <v>6</v>
      </c>
      <c r="D42">
        <v>28.75</v>
      </c>
      <c r="E42">
        <f t="shared" si="0"/>
        <v>826.5625</v>
      </c>
    </row>
    <row r="43" spans="1:5" x14ac:dyDescent="0.45">
      <c r="A43" t="s">
        <v>5</v>
      </c>
      <c r="B43">
        <v>41</v>
      </c>
      <c r="C43" t="s">
        <v>6</v>
      </c>
      <c r="D43">
        <v>28.5</v>
      </c>
      <c r="E43">
        <f t="shared" si="0"/>
        <v>812.25</v>
      </c>
    </row>
    <row r="44" spans="1:5" x14ac:dyDescent="0.45">
      <c r="A44" t="s">
        <v>5</v>
      </c>
      <c r="B44">
        <v>42</v>
      </c>
      <c r="C44" t="s">
        <v>6</v>
      </c>
      <c r="D44">
        <v>28</v>
      </c>
      <c r="E44">
        <f t="shared" si="0"/>
        <v>784</v>
      </c>
    </row>
    <row r="45" spans="1:5" x14ac:dyDescent="0.45">
      <c r="A45" t="s">
        <v>5</v>
      </c>
      <c r="B45">
        <v>43</v>
      </c>
      <c r="C45" t="s">
        <v>6</v>
      </c>
      <c r="D45">
        <v>28.5</v>
      </c>
      <c r="E45">
        <f t="shared" si="0"/>
        <v>812.25</v>
      </c>
    </row>
    <row r="46" spans="1:5" x14ac:dyDescent="0.45">
      <c r="A46" t="s">
        <v>5</v>
      </c>
      <c r="B46">
        <v>44</v>
      </c>
      <c r="C46" t="s">
        <v>6</v>
      </c>
      <c r="D46">
        <v>29</v>
      </c>
      <c r="E46">
        <f t="shared" si="0"/>
        <v>841</v>
      </c>
    </row>
    <row r="47" spans="1:5" x14ac:dyDescent="0.45">
      <c r="A47" t="s">
        <v>5</v>
      </c>
      <c r="B47">
        <v>45</v>
      </c>
      <c r="C47" t="s">
        <v>6</v>
      </c>
      <c r="D47">
        <v>28.25</v>
      </c>
      <c r="E47">
        <f t="shared" si="0"/>
        <v>798.0625</v>
      </c>
    </row>
    <row r="48" spans="1:5" x14ac:dyDescent="0.45">
      <c r="A48" t="s">
        <v>5</v>
      </c>
      <c r="B48">
        <v>46</v>
      </c>
      <c r="C48" t="s">
        <v>6</v>
      </c>
      <c r="D48">
        <v>29.25</v>
      </c>
      <c r="E48">
        <f t="shared" si="0"/>
        <v>855.5625</v>
      </c>
    </row>
    <row r="49" spans="1:5" x14ac:dyDescent="0.45">
      <c r="A49" t="s">
        <v>5</v>
      </c>
      <c r="B49">
        <v>47</v>
      </c>
      <c r="C49" t="s">
        <v>6</v>
      </c>
      <c r="D49">
        <v>30.25</v>
      </c>
      <c r="E49">
        <f t="shared" si="0"/>
        <v>915.0625</v>
      </c>
    </row>
    <row r="50" spans="1:5" x14ac:dyDescent="0.45">
      <c r="A50" t="s">
        <v>5</v>
      </c>
      <c r="B50">
        <v>48</v>
      </c>
      <c r="C50" t="s">
        <v>6</v>
      </c>
      <c r="D50">
        <v>29.25</v>
      </c>
      <c r="E50">
        <f t="shared" si="0"/>
        <v>855.5625</v>
      </c>
    </row>
    <row r="51" spans="1:5" x14ac:dyDescent="0.45">
      <c r="A51" t="s">
        <v>5</v>
      </c>
      <c r="B51">
        <v>49</v>
      </c>
      <c r="C51" t="s">
        <v>6</v>
      </c>
      <c r="D51">
        <v>28.5</v>
      </c>
      <c r="E51">
        <f t="shared" si="0"/>
        <v>812.25</v>
      </c>
    </row>
    <row r="52" spans="1:5" x14ac:dyDescent="0.45">
      <c r="A52" t="s">
        <v>5</v>
      </c>
      <c r="B52">
        <v>50</v>
      </c>
      <c r="C52" t="s">
        <v>6</v>
      </c>
      <c r="D52">
        <v>28.5</v>
      </c>
      <c r="E52">
        <f t="shared" si="0"/>
        <v>812.25</v>
      </c>
    </row>
    <row r="53" spans="1:5" x14ac:dyDescent="0.45">
      <c r="A53" t="s">
        <v>5</v>
      </c>
      <c r="B53">
        <v>51</v>
      </c>
      <c r="C53" t="s">
        <v>6</v>
      </c>
      <c r="D53">
        <v>29</v>
      </c>
      <c r="E53">
        <f t="shared" si="0"/>
        <v>841</v>
      </c>
    </row>
    <row r="54" spans="1:5" x14ac:dyDescent="0.45">
      <c r="A54" t="s">
        <v>5</v>
      </c>
      <c r="B54">
        <v>52</v>
      </c>
      <c r="C54" t="s">
        <v>6</v>
      </c>
      <c r="D54">
        <v>29</v>
      </c>
      <c r="E54">
        <f t="shared" si="0"/>
        <v>841</v>
      </c>
    </row>
    <row r="55" spans="1:5" x14ac:dyDescent="0.45">
      <c r="A55" t="s">
        <v>5</v>
      </c>
      <c r="B55">
        <v>53</v>
      </c>
      <c r="C55" t="s">
        <v>6</v>
      </c>
      <c r="D55">
        <v>28.5</v>
      </c>
      <c r="E55">
        <f t="shared" si="0"/>
        <v>812.25</v>
      </c>
    </row>
    <row r="56" spans="1:5" x14ac:dyDescent="0.45">
      <c r="A56" t="s">
        <v>5</v>
      </c>
      <c r="B56">
        <v>54</v>
      </c>
      <c r="C56" t="s">
        <v>6</v>
      </c>
      <c r="D56">
        <v>29.25</v>
      </c>
      <c r="E56">
        <f t="shared" si="0"/>
        <v>855.5625</v>
      </c>
    </row>
    <row r="57" spans="1:5" x14ac:dyDescent="0.45">
      <c r="A57" t="s">
        <v>5</v>
      </c>
      <c r="B57">
        <v>55</v>
      </c>
      <c r="C57" t="s">
        <v>6</v>
      </c>
      <c r="D57">
        <v>29.75</v>
      </c>
      <c r="E57">
        <f t="shared" si="0"/>
        <v>885.0625</v>
      </c>
    </row>
    <row r="58" spans="1:5" x14ac:dyDescent="0.45">
      <c r="A58" t="s">
        <v>5</v>
      </c>
      <c r="B58">
        <v>56</v>
      </c>
      <c r="C58" t="s">
        <v>6</v>
      </c>
      <c r="D58">
        <v>28.5</v>
      </c>
      <c r="E58">
        <f t="shared" si="0"/>
        <v>812.25</v>
      </c>
    </row>
    <row r="59" spans="1:5" x14ac:dyDescent="0.45">
      <c r="A59" t="s">
        <v>5</v>
      </c>
      <c r="B59">
        <v>57</v>
      </c>
      <c r="C59" t="s">
        <v>6</v>
      </c>
      <c r="D59">
        <v>28.5</v>
      </c>
      <c r="E59">
        <f t="shared" si="0"/>
        <v>812.25</v>
      </c>
    </row>
    <row r="60" spans="1:5" x14ac:dyDescent="0.45">
      <c r="A60" t="s">
        <v>5</v>
      </c>
      <c r="B60">
        <v>58</v>
      </c>
      <c r="C60" t="s">
        <v>6</v>
      </c>
      <c r="D60">
        <v>27.75</v>
      </c>
      <c r="E60">
        <f t="shared" si="0"/>
        <v>770.0625</v>
      </c>
    </row>
    <row r="61" spans="1:5" x14ac:dyDescent="0.45">
      <c r="A61" t="s">
        <v>5</v>
      </c>
      <c r="B61">
        <v>59</v>
      </c>
      <c r="C61" t="s">
        <v>6</v>
      </c>
      <c r="D61">
        <v>28.25</v>
      </c>
      <c r="E61">
        <f t="shared" si="0"/>
        <v>798.0625</v>
      </c>
    </row>
    <row r="62" spans="1:5" x14ac:dyDescent="0.45">
      <c r="A62" t="s">
        <v>5</v>
      </c>
      <c r="B62">
        <v>60</v>
      </c>
      <c r="C62" t="s">
        <v>6</v>
      </c>
      <c r="D62">
        <v>28.5</v>
      </c>
      <c r="E62">
        <f t="shared" si="0"/>
        <v>812.25</v>
      </c>
    </row>
    <row r="63" spans="1:5" x14ac:dyDescent="0.45">
      <c r="A63" t="s">
        <v>5</v>
      </c>
      <c r="B63">
        <v>61</v>
      </c>
      <c r="C63" t="s">
        <v>6</v>
      </c>
      <c r="D63">
        <v>28.75</v>
      </c>
      <c r="E63">
        <f t="shared" si="0"/>
        <v>826.5625</v>
      </c>
    </row>
    <row r="64" spans="1:5" x14ac:dyDescent="0.45">
      <c r="A64" t="s">
        <v>5</v>
      </c>
      <c r="B64">
        <v>62</v>
      </c>
      <c r="C64" t="s">
        <v>6</v>
      </c>
      <c r="D64">
        <v>29.75</v>
      </c>
      <c r="E64">
        <f t="shared" si="0"/>
        <v>885.0625</v>
      </c>
    </row>
    <row r="65" spans="1:5" x14ac:dyDescent="0.45">
      <c r="A65" t="s">
        <v>5</v>
      </c>
      <c r="B65">
        <v>63</v>
      </c>
      <c r="C65" t="s">
        <v>6</v>
      </c>
      <c r="D65">
        <v>30.5</v>
      </c>
      <c r="E65">
        <f t="shared" si="0"/>
        <v>930.25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9F1F-610C-4D35-BCD1-38AA6644F438}">
  <dimension ref="A1:J65"/>
  <sheetViews>
    <sheetView tabSelected="1" workbookViewId="0">
      <selection activeCell="O8" sqref="O8"/>
    </sheetView>
  </sheetViews>
  <sheetFormatPr defaultRowHeight="14.25" x14ac:dyDescent="0.45"/>
  <cols>
    <col min="4" max="4" width="9.06640625" style="1"/>
  </cols>
  <sheetData>
    <row r="1" spans="1:10" x14ac:dyDescent="0.45">
      <c r="E1" t="s">
        <v>8</v>
      </c>
    </row>
    <row r="2" spans="1:10" x14ac:dyDescent="0.45">
      <c r="A2" t="s">
        <v>5</v>
      </c>
      <c r="B2">
        <v>0</v>
      </c>
      <c r="C2" t="s">
        <v>6</v>
      </c>
      <c r="D2" s="1">
        <v>25</v>
      </c>
      <c r="E2">
        <f>D2*D2</f>
        <v>625</v>
      </c>
      <c r="H2" t="s">
        <v>19</v>
      </c>
      <c r="I2">
        <f>SUM(D2:D65)</f>
        <v>1414.5</v>
      </c>
    </row>
    <row r="3" spans="1:10" x14ac:dyDescent="0.45">
      <c r="A3" t="s">
        <v>5</v>
      </c>
      <c r="B3">
        <v>1</v>
      </c>
      <c r="C3" t="s">
        <v>6</v>
      </c>
      <c r="D3" s="1">
        <v>25.75</v>
      </c>
      <c r="E3">
        <f t="shared" ref="E3:E65" si="0">D3*D3</f>
        <v>663.0625</v>
      </c>
      <c r="H3" t="s">
        <v>20</v>
      </c>
      <c r="I3">
        <f>SUM(E2:E65)</f>
        <v>31422.75</v>
      </c>
    </row>
    <row r="4" spans="1:10" x14ac:dyDescent="0.45">
      <c r="A4" t="s">
        <v>5</v>
      </c>
      <c r="B4">
        <v>2</v>
      </c>
      <c r="C4" t="s">
        <v>6</v>
      </c>
      <c r="D4" s="1">
        <v>22.25</v>
      </c>
      <c r="E4">
        <f t="shared" si="0"/>
        <v>495.0625</v>
      </c>
      <c r="I4">
        <f>SUMSQ(D2:D65)</f>
        <v>31422.75</v>
      </c>
    </row>
    <row r="5" spans="1:10" x14ac:dyDescent="0.45">
      <c r="A5" t="s">
        <v>5</v>
      </c>
      <c r="B5">
        <v>3</v>
      </c>
      <c r="C5" t="s">
        <v>6</v>
      </c>
      <c r="D5" s="1">
        <v>21.75</v>
      </c>
      <c r="E5">
        <f t="shared" si="0"/>
        <v>473.0625</v>
      </c>
      <c r="H5" t="s">
        <v>21</v>
      </c>
      <c r="I5">
        <f>I2^2</f>
        <v>2000810.25</v>
      </c>
    </row>
    <row r="6" spans="1:10" x14ac:dyDescent="0.45">
      <c r="A6" t="s">
        <v>5</v>
      </c>
      <c r="B6">
        <v>4</v>
      </c>
      <c r="C6" t="s">
        <v>6</v>
      </c>
      <c r="D6" s="1">
        <v>21.5</v>
      </c>
      <c r="E6">
        <f t="shared" si="0"/>
        <v>462.25</v>
      </c>
      <c r="H6" t="s">
        <v>22</v>
      </c>
      <c r="I6">
        <f>I5/64</f>
        <v>31262.66015625</v>
      </c>
    </row>
    <row r="7" spans="1:10" x14ac:dyDescent="0.45">
      <c r="A7" t="s">
        <v>5</v>
      </c>
      <c r="B7">
        <v>5</v>
      </c>
      <c r="C7" t="s">
        <v>6</v>
      </c>
      <c r="D7" s="1">
        <v>22</v>
      </c>
      <c r="E7">
        <f t="shared" si="0"/>
        <v>484</v>
      </c>
      <c r="H7" t="s">
        <v>10</v>
      </c>
      <c r="I7">
        <f>I3-I6</f>
        <v>160.08984375</v>
      </c>
    </row>
    <row r="8" spans="1:10" x14ac:dyDescent="0.45">
      <c r="A8" t="s">
        <v>5</v>
      </c>
      <c r="B8">
        <v>6</v>
      </c>
      <c r="C8" t="s">
        <v>6</v>
      </c>
      <c r="D8" s="1">
        <v>21.5</v>
      </c>
      <c r="E8">
        <f t="shared" si="0"/>
        <v>462.25</v>
      </c>
    </row>
    <row r="9" spans="1:10" x14ac:dyDescent="0.45">
      <c r="A9" t="s">
        <v>5</v>
      </c>
      <c r="B9">
        <v>7</v>
      </c>
      <c r="C9" t="s">
        <v>6</v>
      </c>
      <c r="D9" s="1">
        <v>21.75</v>
      </c>
      <c r="E9">
        <f t="shared" si="0"/>
        <v>473.0625</v>
      </c>
    </row>
    <row r="10" spans="1:10" x14ac:dyDescent="0.45">
      <c r="A10" t="s">
        <v>5</v>
      </c>
      <c r="B10">
        <v>8</v>
      </c>
      <c r="C10" t="s">
        <v>6</v>
      </c>
      <c r="D10" s="1">
        <v>26.5</v>
      </c>
      <c r="E10">
        <f t="shared" si="0"/>
        <v>702.25</v>
      </c>
    </row>
    <row r="11" spans="1:10" x14ac:dyDescent="0.45">
      <c r="A11" t="s">
        <v>5</v>
      </c>
      <c r="B11">
        <v>9</v>
      </c>
      <c r="C11" t="s">
        <v>6</v>
      </c>
      <c r="D11" s="1">
        <v>23.75</v>
      </c>
      <c r="E11">
        <f t="shared" si="0"/>
        <v>564.0625</v>
      </c>
      <c r="J11" t="s">
        <v>14</v>
      </c>
    </row>
    <row r="12" spans="1:10" x14ac:dyDescent="0.45">
      <c r="A12" t="s">
        <v>5</v>
      </c>
      <c r="B12">
        <v>1</v>
      </c>
      <c r="C12">
        <v>0</v>
      </c>
      <c r="D12" s="1">
        <f xml:space="preserve"> 20.75</f>
        <v>20.75</v>
      </c>
      <c r="E12">
        <f t="shared" si="0"/>
        <v>430.5625</v>
      </c>
      <c r="J12" t="s">
        <v>15</v>
      </c>
    </row>
    <row r="13" spans="1:10" x14ac:dyDescent="0.45">
      <c r="A13" t="s">
        <v>5</v>
      </c>
      <c r="B13">
        <v>1</v>
      </c>
      <c r="C13">
        <v>1</v>
      </c>
      <c r="D13" s="1">
        <f xml:space="preserve"> 21.5</f>
        <v>21.5</v>
      </c>
      <c r="E13">
        <f t="shared" si="0"/>
        <v>462.25</v>
      </c>
      <c r="J13" t="s">
        <v>16</v>
      </c>
    </row>
    <row r="14" spans="1:10" x14ac:dyDescent="0.45">
      <c r="A14" t="s">
        <v>5</v>
      </c>
      <c r="B14">
        <v>1</v>
      </c>
      <c r="C14">
        <v>2</v>
      </c>
      <c r="D14" s="1">
        <f xml:space="preserve"> 22</f>
        <v>22</v>
      </c>
      <c r="E14">
        <f t="shared" si="0"/>
        <v>484</v>
      </c>
      <c r="J14" t="s">
        <v>17</v>
      </c>
    </row>
    <row r="15" spans="1:10" x14ac:dyDescent="0.45">
      <c r="A15" t="s">
        <v>5</v>
      </c>
      <c r="B15">
        <v>1</v>
      </c>
      <c r="C15">
        <v>3</v>
      </c>
      <c r="D15" s="1">
        <f xml:space="preserve"> 22.5</f>
        <v>22.5</v>
      </c>
      <c r="E15">
        <f t="shared" si="0"/>
        <v>506.25</v>
      </c>
      <c r="J15" t="s">
        <v>18</v>
      </c>
    </row>
    <row r="16" spans="1:10" x14ac:dyDescent="0.45">
      <c r="A16" t="s">
        <v>5</v>
      </c>
      <c r="B16">
        <v>1</v>
      </c>
      <c r="C16">
        <v>4</v>
      </c>
      <c r="D16" s="1">
        <v>22.75</v>
      </c>
      <c r="E16">
        <f t="shared" si="0"/>
        <v>517.5625</v>
      </c>
    </row>
    <row r="17" spans="1:5" x14ac:dyDescent="0.45">
      <c r="A17" t="s">
        <v>5</v>
      </c>
      <c r="B17">
        <v>1</v>
      </c>
      <c r="C17">
        <v>5</v>
      </c>
      <c r="D17" s="1">
        <f xml:space="preserve"> 22.5</f>
        <v>22.5</v>
      </c>
      <c r="E17">
        <f t="shared" si="0"/>
        <v>506.25</v>
      </c>
    </row>
    <row r="18" spans="1:5" x14ac:dyDescent="0.45">
      <c r="A18" t="s">
        <v>5</v>
      </c>
      <c r="B18">
        <v>1</v>
      </c>
      <c r="C18">
        <v>6</v>
      </c>
      <c r="D18" s="1">
        <f xml:space="preserve"> 25.75</f>
        <v>25.75</v>
      </c>
      <c r="E18">
        <f t="shared" si="0"/>
        <v>663.0625</v>
      </c>
    </row>
    <row r="19" spans="1:5" x14ac:dyDescent="0.45">
      <c r="A19" t="s">
        <v>5</v>
      </c>
      <c r="B19">
        <v>1</v>
      </c>
      <c r="C19">
        <v>7</v>
      </c>
      <c r="D19" s="1">
        <f xml:space="preserve"> 21.75</f>
        <v>21.75</v>
      </c>
      <c r="E19">
        <f t="shared" si="0"/>
        <v>473.0625</v>
      </c>
    </row>
    <row r="20" spans="1:5" x14ac:dyDescent="0.45">
      <c r="A20" t="s">
        <v>5</v>
      </c>
      <c r="B20">
        <v>1</v>
      </c>
      <c r="C20">
        <v>8</v>
      </c>
      <c r="D20" s="1">
        <v>21.25</v>
      </c>
      <c r="E20">
        <f t="shared" si="0"/>
        <v>451.5625</v>
      </c>
    </row>
    <row r="21" spans="1:5" x14ac:dyDescent="0.45">
      <c r="A21" t="s">
        <v>5</v>
      </c>
      <c r="B21">
        <v>1</v>
      </c>
      <c r="C21">
        <v>9</v>
      </c>
      <c r="D21" s="1">
        <f xml:space="preserve"> 21.75</f>
        <v>21.75</v>
      </c>
      <c r="E21">
        <f t="shared" si="0"/>
        <v>473.0625</v>
      </c>
    </row>
    <row r="22" spans="1:5" x14ac:dyDescent="0.45">
      <c r="A22" t="s">
        <v>5</v>
      </c>
      <c r="B22">
        <v>2</v>
      </c>
      <c r="C22">
        <v>0</v>
      </c>
      <c r="D22" s="1">
        <f xml:space="preserve"> 22</f>
        <v>22</v>
      </c>
      <c r="E22">
        <f t="shared" si="0"/>
        <v>484</v>
      </c>
    </row>
    <row r="23" spans="1:5" x14ac:dyDescent="0.45">
      <c r="A23" t="s">
        <v>5</v>
      </c>
      <c r="B23">
        <v>2</v>
      </c>
      <c r="C23">
        <v>1</v>
      </c>
      <c r="D23" s="1">
        <f xml:space="preserve"> 22.25</f>
        <v>22.25</v>
      </c>
      <c r="E23">
        <f t="shared" si="0"/>
        <v>495.0625</v>
      </c>
    </row>
    <row r="24" spans="1:5" x14ac:dyDescent="0.45">
      <c r="A24" t="s">
        <v>5</v>
      </c>
      <c r="B24">
        <v>2</v>
      </c>
      <c r="C24">
        <v>2</v>
      </c>
      <c r="D24" s="1">
        <f xml:space="preserve"> 23.5</f>
        <v>23.5</v>
      </c>
      <c r="E24">
        <f t="shared" si="0"/>
        <v>552.25</v>
      </c>
    </row>
    <row r="25" spans="1:5" x14ac:dyDescent="0.45">
      <c r="A25" t="s">
        <v>5</v>
      </c>
      <c r="B25">
        <v>2</v>
      </c>
      <c r="C25">
        <v>3</v>
      </c>
      <c r="D25" s="1">
        <f xml:space="preserve"> 25.25</f>
        <v>25.25</v>
      </c>
      <c r="E25">
        <f t="shared" si="0"/>
        <v>637.5625</v>
      </c>
    </row>
    <row r="26" spans="1:5" x14ac:dyDescent="0.45">
      <c r="A26" t="s">
        <v>5</v>
      </c>
      <c r="B26">
        <v>2</v>
      </c>
      <c r="C26">
        <v>4</v>
      </c>
      <c r="D26" s="1">
        <f xml:space="preserve"> 24.5</f>
        <v>24.5</v>
      </c>
      <c r="E26">
        <f t="shared" si="0"/>
        <v>600.25</v>
      </c>
    </row>
    <row r="27" spans="1:5" x14ac:dyDescent="0.45">
      <c r="A27" t="s">
        <v>5</v>
      </c>
      <c r="B27">
        <v>2</v>
      </c>
      <c r="C27">
        <v>5</v>
      </c>
      <c r="D27" s="1">
        <f xml:space="preserve"> 21.5</f>
        <v>21.5</v>
      </c>
      <c r="E27">
        <f t="shared" si="0"/>
        <v>462.25</v>
      </c>
    </row>
    <row r="28" spans="1:5" x14ac:dyDescent="0.45">
      <c r="A28" t="s">
        <v>5</v>
      </c>
      <c r="B28">
        <v>2</v>
      </c>
      <c r="C28">
        <v>6</v>
      </c>
      <c r="D28" s="1">
        <f xml:space="preserve"> 21.25</f>
        <v>21.25</v>
      </c>
      <c r="E28">
        <f t="shared" si="0"/>
        <v>451.5625</v>
      </c>
    </row>
    <row r="29" spans="1:5" x14ac:dyDescent="0.45">
      <c r="A29" t="s">
        <v>5</v>
      </c>
      <c r="B29">
        <v>2</v>
      </c>
      <c r="C29">
        <v>7</v>
      </c>
      <c r="D29" s="1">
        <f xml:space="preserve"> 21.25</f>
        <v>21.25</v>
      </c>
      <c r="E29">
        <f t="shared" si="0"/>
        <v>451.5625</v>
      </c>
    </row>
    <row r="30" spans="1:5" x14ac:dyDescent="0.45">
      <c r="A30" t="s">
        <v>5</v>
      </c>
      <c r="B30">
        <v>2</v>
      </c>
      <c r="C30">
        <v>8</v>
      </c>
      <c r="D30" s="1">
        <f xml:space="preserve"> 22</f>
        <v>22</v>
      </c>
      <c r="E30">
        <f t="shared" si="0"/>
        <v>484</v>
      </c>
    </row>
    <row r="31" spans="1:5" x14ac:dyDescent="0.45">
      <c r="A31" t="s">
        <v>5</v>
      </c>
      <c r="B31">
        <v>2</v>
      </c>
      <c r="C31">
        <v>9</v>
      </c>
      <c r="D31" s="1">
        <f xml:space="preserve"> 22</f>
        <v>22</v>
      </c>
      <c r="E31">
        <f t="shared" si="0"/>
        <v>484</v>
      </c>
    </row>
    <row r="32" spans="1:5" x14ac:dyDescent="0.45">
      <c r="A32" t="s">
        <v>5</v>
      </c>
      <c r="B32">
        <v>3</v>
      </c>
      <c r="C32">
        <v>0</v>
      </c>
      <c r="D32" s="1">
        <f xml:space="preserve"> 25</f>
        <v>25</v>
      </c>
      <c r="E32">
        <f t="shared" si="0"/>
        <v>625</v>
      </c>
    </row>
    <row r="33" spans="1:5" x14ac:dyDescent="0.45">
      <c r="A33" t="s">
        <v>5</v>
      </c>
      <c r="B33">
        <v>3</v>
      </c>
      <c r="C33">
        <v>1</v>
      </c>
      <c r="D33" s="1">
        <f xml:space="preserve"> 26.25</f>
        <v>26.25</v>
      </c>
      <c r="E33">
        <f t="shared" si="0"/>
        <v>689.0625</v>
      </c>
    </row>
    <row r="34" spans="1:5" x14ac:dyDescent="0.45">
      <c r="A34" t="s">
        <v>5</v>
      </c>
      <c r="B34">
        <v>3</v>
      </c>
      <c r="C34">
        <v>2</v>
      </c>
      <c r="D34" s="1">
        <f xml:space="preserve"> 23.75</f>
        <v>23.75</v>
      </c>
      <c r="E34">
        <f t="shared" si="0"/>
        <v>564.0625</v>
      </c>
    </row>
    <row r="35" spans="1:5" x14ac:dyDescent="0.45">
      <c r="A35" t="s">
        <v>5</v>
      </c>
      <c r="B35">
        <v>3</v>
      </c>
      <c r="C35">
        <v>3</v>
      </c>
      <c r="D35" s="1">
        <f xml:space="preserve"> 21</f>
        <v>21</v>
      </c>
      <c r="E35">
        <f t="shared" si="0"/>
        <v>441</v>
      </c>
    </row>
    <row r="36" spans="1:5" x14ac:dyDescent="0.45">
      <c r="A36" t="s">
        <v>5</v>
      </c>
      <c r="B36">
        <v>3</v>
      </c>
      <c r="C36">
        <v>4</v>
      </c>
      <c r="D36" s="1">
        <f xml:space="preserve"> 21.25</f>
        <v>21.25</v>
      </c>
      <c r="E36">
        <f t="shared" si="0"/>
        <v>451.5625</v>
      </c>
    </row>
    <row r="37" spans="1:5" x14ac:dyDescent="0.45">
      <c r="A37" t="s">
        <v>5</v>
      </c>
      <c r="B37">
        <v>3</v>
      </c>
      <c r="C37">
        <v>5</v>
      </c>
      <c r="D37" s="1">
        <f xml:space="preserve"> 21.5</f>
        <v>21.5</v>
      </c>
      <c r="E37">
        <f t="shared" si="0"/>
        <v>462.25</v>
      </c>
    </row>
    <row r="38" spans="1:5" x14ac:dyDescent="0.45">
      <c r="A38" t="s">
        <v>5</v>
      </c>
      <c r="B38">
        <v>3</v>
      </c>
      <c r="C38">
        <v>6</v>
      </c>
      <c r="D38" s="1">
        <v>22</v>
      </c>
      <c r="E38">
        <f t="shared" si="0"/>
        <v>484</v>
      </c>
    </row>
    <row r="39" spans="1:5" x14ac:dyDescent="0.45">
      <c r="A39" t="s">
        <v>5</v>
      </c>
      <c r="B39">
        <v>3</v>
      </c>
      <c r="C39">
        <v>7</v>
      </c>
      <c r="D39" s="1">
        <f xml:space="preserve"> 21.5</f>
        <v>21.5</v>
      </c>
      <c r="E39">
        <f t="shared" si="0"/>
        <v>462.25</v>
      </c>
    </row>
    <row r="40" spans="1:5" x14ac:dyDescent="0.45">
      <c r="A40" t="s">
        <v>5</v>
      </c>
      <c r="B40">
        <v>3</v>
      </c>
      <c r="C40">
        <v>8</v>
      </c>
      <c r="D40" s="1">
        <f xml:space="preserve"> 22.75</f>
        <v>22.75</v>
      </c>
      <c r="E40">
        <f t="shared" si="0"/>
        <v>517.5625</v>
      </c>
    </row>
    <row r="41" spans="1:5" x14ac:dyDescent="0.45">
      <c r="A41" t="s">
        <v>5</v>
      </c>
      <c r="B41">
        <v>3</v>
      </c>
      <c r="C41">
        <v>9</v>
      </c>
      <c r="D41" s="1">
        <f xml:space="preserve"> 24.5</f>
        <v>24.5</v>
      </c>
      <c r="E41">
        <f t="shared" si="0"/>
        <v>600.25</v>
      </c>
    </row>
    <row r="42" spans="1:5" x14ac:dyDescent="0.45">
      <c r="A42" t="s">
        <v>5</v>
      </c>
      <c r="B42">
        <v>4</v>
      </c>
      <c r="C42">
        <v>0</v>
      </c>
      <c r="D42" s="1">
        <f xml:space="preserve"> 23.25</f>
        <v>23.25</v>
      </c>
      <c r="E42">
        <f t="shared" si="0"/>
        <v>540.5625</v>
      </c>
    </row>
    <row r="43" spans="1:5" x14ac:dyDescent="0.45">
      <c r="A43" t="s">
        <v>5</v>
      </c>
      <c r="B43">
        <v>4</v>
      </c>
      <c r="C43">
        <v>1</v>
      </c>
      <c r="D43" s="1">
        <f xml:space="preserve"> 20.25</f>
        <v>20.25</v>
      </c>
      <c r="E43">
        <f t="shared" si="0"/>
        <v>410.0625</v>
      </c>
    </row>
    <row r="44" spans="1:5" x14ac:dyDescent="0.45">
      <c r="A44" t="s">
        <v>5</v>
      </c>
      <c r="B44">
        <v>4</v>
      </c>
      <c r="C44">
        <v>2</v>
      </c>
      <c r="D44" s="1">
        <f xml:space="preserve"> 21</f>
        <v>21</v>
      </c>
      <c r="E44">
        <f t="shared" si="0"/>
        <v>441</v>
      </c>
    </row>
    <row r="45" spans="1:5" x14ac:dyDescent="0.45">
      <c r="A45" t="s">
        <v>5</v>
      </c>
      <c r="B45">
        <v>4</v>
      </c>
      <c r="C45">
        <v>3</v>
      </c>
      <c r="D45" s="1">
        <f xml:space="preserve"> 20.75</f>
        <v>20.75</v>
      </c>
      <c r="E45">
        <f t="shared" si="0"/>
        <v>430.5625</v>
      </c>
    </row>
    <row r="46" spans="1:5" x14ac:dyDescent="0.45">
      <c r="A46" t="s">
        <v>5</v>
      </c>
      <c r="B46">
        <v>4</v>
      </c>
      <c r="C46">
        <v>4</v>
      </c>
      <c r="D46" s="1">
        <f xml:space="preserve"> 21.5</f>
        <v>21.5</v>
      </c>
      <c r="E46">
        <f t="shared" si="0"/>
        <v>462.25</v>
      </c>
    </row>
    <row r="47" spans="1:5" x14ac:dyDescent="0.45">
      <c r="A47" t="s">
        <v>5</v>
      </c>
      <c r="B47">
        <v>4</v>
      </c>
      <c r="C47">
        <v>5</v>
      </c>
      <c r="D47" s="1">
        <f xml:space="preserve"> 21</f>
        <v>21</v>
      </c>
      <c r="E47">
        <f t="shared" si="0"/>
        <v>441</v>
      </c>
    </row>
    <row r="48" spans="1:5" x14ac:dyDescent="0.45">
      <c r="A48" t="s">
        <v>5</v>
      </c>
      <c r="B48">
        <v>4</v>
      </c>
      <c r="C48">
        <v>6</v>
      </c>
      <c r="D48" s="1">
        <f xml:space="preserve"> 22</f>
        <v>22</v>
      </c>
      <c r="E48">
        <f t="shared" si="0"/>
        <v>484</v>
      </c>
    </row>
    <row r="49" spans="1:5" x14ac:dyDescent="0.45">
      <c r="A49" t="s">
        <v>5</v>
      </c>
      <c r="B49">
        <v>4</v>
      </c>
      <c r="C49">
        <v>7</v>
      </c>
      <c r="D49" s="1">
        <v>21.5</v>
      </c>
      <c r="E49">
        <f t="shared" si="0"/>
        <v>462.25</v>
      </c>
    </row>
    <row r="50" spans="1:5" x14ac:dyDescent="0.45">
      <c r="A50" t="s">
        <v>5</v>
      </c>
      <c r="B50">
        <v>4</v>
      </c>
      <c r="C50">
        <v>8</v>
      </c>
      <c r="D50" s="1">
        <f xml:space="preserve"> 22</f>
        <v>22</v>
      </c>
      <c r="E50">
        <f t="shared" si="0"/>
        <v>484</v>
      </c>
    </row>
    <row r="51" spans="1:5" x14ac:dyDescent="0.45">
      <c r="A51" t="s">
        <v>5</v>
      </c>
      <c r="B51">
        <v>4</v>
      </c>
      <c r="C51">
        <v>9</v>
      </c>
      <c r="D51" s="1">
        <f xml:space="preserve"> 20.25</f>
        <v>20.25</v>
      </c>
      <c r="E51">
        <f t="shared" si="0"/>
        <v>410.0625</v>
      </c>
    </row>
    <row r="52" spans="1:5" x14ac:dyDescent="0.45">
      <c r="A52" t="s">
        <v>5</v>
      </c>
      <c r="B52">
        <v>5</v>
      </c>
      <c r="C52">
        <v>0</v>
      </c>
      <c r="D52" s="1">
        <f xml:space="preserve"> 20.5</f>
        <v>20.5</v>
      </c>
      <c r="E52">
        <f t="shared" si="0"/>
        <v>420.25</v>
      </c>
    </row>
    <row r="53" spans="1:5" x14ac:dyDescent="0.45">
      <c r="A53" t="s">
        <v>5</v>
      </c>
      <c r="B53">
        <v>5</v>
      </c>
      <c r="C53">
        <v>1</v>
      </c>
      <c r="D53" s="1">
        <f xml:space="preserve"> 20.75</f>
        <v>20.75</v>
      </c>
      <c r="E53">
        <f t="shared" si="0"/>
        <v>430.5625</v>
      </c>
    </row>
    <row r="54" spans="1:5" x14ac:dyDescent="0.45">
      <c r="A54" t="s">
        <v>5</v>
      </c>
      <c r="B54">
        <v>5</v>
      </c>
      <c r="C54">
        <v>2</v>
      </c>
      <c r="D54" s="1">
        <f xml:space="preserve"> 21.5</f>
        <v>21.5</v>
      </c>
      <c r="E54">
        <f t="shared" si="0"/>
        <v>462.25</v>
      </c>
    </row>
    <row r="55" spans="1:5" x14ac:dyDescent="0.45">
      <c r="A55" t="s">
        <v>5</v>
      </c>
      <c r="B55">
        <v>5</v>
      </c>
      <c r="C55">
        <v>3</v>
      </c>
      <c r="D55" s="1">
        <f xml:space="preserve"> 21.25</f>
        <v>21.25</v>
      </c>
      <c r="E55">
        <f t="shared" si="0"/>
        <v>451.5625</v>
      </c>
    </row>
    <row r="56" spans="1:5" x14ac:dyDescent="0.45">
      <c r="A56" t="s">
        <v>5</v>
      </c>
      <c r="B56">
        <v>5</v>
      </c>
      <c r="C56">
        <v>4</v>
      </c>
      <c r="D56" s="1">
        <f xml:space="preserve"> 21</f>
        <v>21</v>
      </c>
      <c r="E56">
        <f t="shared" si="0"/>
        <v>441</v>
      </c>
    </row>
    <row r="57" spans="1:5" x14ac:dyDescent="0.45">
      <c r="A57" t="s">
        <v>5</v>
      </c>
      <c r="B57">
        <v>5</v>
      </c>
      <c r="C57">
        <v>5</v>
      </c>
      <c r="D57" s="1">
        <f xml:space="preserve"> 20</f>
        <v>20</v>
      </c>
      <c r="E57">
        <f t="shared" si="0"/>
        <v>400</v>
      </c>
    </row>
    <row r="58" spans="1:5" x14ac:dyDescent="0.45">
      <c r="A58" t="s">
        <v>5</v>
      </c>
      <c r="B58">
        <v>5</v>
      </c>
      <c r="C58">
        <v>6</v>
      </c>
      <c r="D58" s="1">
        <f xml:space="preserve"> 22</f>
        <v>22</v>
      </c>
      <c r="E58">
        <f t="shared" si="0"/>
        <v>484</v>
      </c>
    </row>
    <row r="59" spans="1:5" x14ac:dyDescent="0.45">
      <c r="A59" t="s">
        <v>5</v>
      </c>
      <c r="B59">
        <v>5</v>
      </c>
      <c r="C59">
        <v>7</v>
      </c>
      <c r="D59" s="1">
        <f xml:space="preserve"> 21.5</f>
        <v>21.5</v>
      </c>
      <c r="E59">
        <f t="shared" si="0"/>
        <v>462.25</v>
      </c>
    </row>
    <row r="60" spans="1:5" x14ac:dyDescent="0.45">
      <c r="A60" t="s">
        <v>5</v>
      </c>
      <c r="B60">
        <v>5</v>
      </c>
      <c r="C60">
        <v>8</v>
      </c>
      <c r="D60" s="1">
        <f xml:space="preserve"> 21</f>
        <v>21</v>
      </c>
      <c r="E60">
        <f t="shared" si="0"/>
        <v>441</v>
      </c>
    </row>
    <row r="61" spans="1:5" x14ac:dyDescent="0.45">
      <c r="A61" t="s">
        <v>5</v>
      </c>
      <c r="B61">
        <v>5</v>
      </c>
      <c r="C61">
        <v>9</v>
      </c>
      <c r="D61" s="1">
        <v>20.75</v>
      </c>
      <c r="E61">
        <f t="shared" si="0"/>
        <v>430.5625</v>
      </c>
    </row>
    <row r="62" spans="1:5" x14ac:dyDescent="0.45">
      <c r="A62" t="s">
        <v>5</v>
      </c>
      <c r="B62">
        <v>6</v>
      </c>
      <c r="C62">
        <v>0</v>
      </c>
      <c r="D62" s="1">
        <f xml:space="preserve"> 21</f>
        <v>21</v>
      </c>
      <c r="E62">
        <f t="shared" si="0"/>
        <v>441</v>
      </c>
    </row>
    <row r="63" spans="1:5" x14ac:dyDescent="0.45">
      <c r="A63" t="s">
        <v>5</v>
      </c>
      <c r="B63">
        <v>6</v>
      </c>
      <c r="C63">
        <v>1</v>
      </c>
      <c r="D63" s="1">
        <f xml:space="preserve"> 20.5</f>
        <v>20.5</v>
      </c>
      <c r="E63">
        <f t="shared" si="0"/>
        <v>420.25</v>
      </c>
    </row>
    <row r="64" spans="1:5" x14ac:dyDescent="0.45">
      <c r="A64" t="s">
        <v>5</v>
      </c>
      <c r="B64">
        <v>6</v>
      </c>
      <c r="C64">
        <v>2</v>
      </c>
      <c r="D64" s="1">
        <f xml:space="preserve"> 20.75</f>
        <v>20.75</v>
      </c>
      <c r="E64">
        <f t="shared" si="0"/>
        <v>430.5625</v>
      </c>
    </row>
    <row r="65" spans="1:5" x14ac:dyDescent="0.45">
      <c r="A65" t="s">
        <v>5</v>
      </c>
      <c r="B65">
        <v>6</v>
      </c>
      <c r="C65">
        <v>3</v>
      </c>
      <c r="D65" s="1">
        <f xml:space="preserve"> 19.25</f>
        <v>19.25</v>
      </c>
      <c r="E65">
        <f t="shared" si="0"/>
        <v>370.5625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Tennyson Renner</dc:creator>
  <cp:lastModifiedBy>Tennyson Renner</cp:lastModifiedBy>
  <cp:lastPrinted>2021-09-27T03:45:14Z</cp:lastPrinted>
  <dcterms:created xsi:type="dcterms:W3CDTF">2021-09-27T03:30:19Z</dcterms:created>
  <dcterms:modified xsi:type="dcterms:W3CDTF">2021-09-27T21:09:19Z</dcterms:modified>
</cp:coreProperties>
</file>