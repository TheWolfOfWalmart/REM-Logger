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rda\OneDrive\Documents\Projects\Lucidity\Logger\Logger\"/>
    </mc:Choice>
  </mc:AlternateContent>
  <xr:revisionPtr revIDLastSave="0" documentId="13_ncr:1_{6B0462B9-D3F5-4414-BAF5-FF3488419A70}" xr6:coauthVersionLast="47" xr6:coauthVersionMax="47" xr10:uidLastSave="{00000000-0000-0000-0000-000000000000}"/>
  <bookViews>
    <workbookView xWindow="-28920" yWindow="1185" windowWidth="29040" windowHeight="16440" xr2:uid="{FEE41026-4CED-4207-A20D-C0E4E3DC0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U21" i="1"/>
  <c r="U20" i="1"/>
  <c r="U17" i="1"/>
  <c r="U18" i="1" s="1"/>
  <c r="U19" i="1" s="1"/>
  <c r="U16" i="1"/>
  <c r="M13" i="1"/>
  <c r="M10" i="1"/>
  <c r="M9" i="1"/>
  <c r="M8" i="1"/>
  <c r="M11" i="1" s="1"/>
  <c r="M12" i="1" s="1"/>
  <c r="M7" i="1"/>
</calcChain>
</file>

<file path=xl/sharedStrings.xml><?xml version="1.0" encoding="utf-8"?>
<sst xmlns="http://schemas.openxmlformats.org/spreadsheetml/2006/main" count="13" uniqueCount="10">
  <si>
    <t>Average</t>
  </si>
  <si>
    <t>Sum</t>
  </si>
  <si>
    <t>Min</t>
  </si>
  <si>
    <t>Max</t>
  </si>
  <si>
    <t>SumsQ</t>
  </si>
  <si>
    <t>Sum^2</t>
  </si>
  <si>
    <t>Std Dev</t>
  </si>
  <si>
    <t>Sum^2/64</t>
  </si>
  <si>
    <t>SumSQ</t>
  </si>
  <si>
    <t>Sum^2/4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</si>
</sst>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1" defaultTableStyle="TableStyleMedium2" defaultPivotStyle="PivotStyleLight16">
    <tableStyle name="Invisible" pivot="0" table="0" count="0" xr9:uid="{843D8D77-C1CE-42D1-BC34-B0A3631F25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E14C-E747-4A72-8083-F9D39031D2B8}">
  <dimension ref="A1:U21"/>
  <sheetViews>
    <sheetView tabSelected="1" workbookViewId="0">
      <selection activeCell="Y14" sqref="Y14"/>
    </sheetView>
  </sheetViews>
  <sheetFormatPr defaultRowHeight="15" x14ac:dyDescent="0.25"/>
  <cols>
    <col min="1" max="1" width="16" customWidth="1"/>
  </cols>
  <sheetData>
    <row r="1" spans="1:21" x14ac:dyDescent="0.25">
      <c r="A1">
        <v>19</v>
      </c>
      <c r="B1">
        <v>20.5</v>
      </c>
      <c r="C1">
        <v>20</v>
      </c>
      <c r="D1">
        <v>20.5</v>
      </c>
      <c r="E1">
        <v>21</v>
      </c>
      <c r="F1">
        <v>20.5</v>
      </c>
      <c r="G1">
        <v>20.5</v>
      </c>
      <c r="H1">
        <v>20.5</v>
      </c>
    </row>
    <row r="2" spans="1:21" x14ac:dyDescent="0.25">
      <c r="A2">
        <v>20.25</v>
      </c>
      <c r="B2">
        <v>19.5</v>
      </c>
      <c r="C2">
        <v>20</v>
      </c>
      <c r="D2">
        <v>20.5</v>
      </c>
      <c r="E2">
        <v>21</v>
      </c>
      <c r="F2">
        <v>20.75</v>
      </c>
      <c r="G2">
        <v>21.5</v>
      </c>
      <c r="H2">
        <v>21.25</v>
      </c>
    </row>
    <row r="3" spans="1:21" x14ac:dyDescent="0.25">
      <c r="A3">
        <v>19.25</v>
      </c>
      <c r="B3">
        <v>20.5</v>
      </c>
      <c r="C3">
        <v>20</v>
      </c>
      <c r="D3">
        <v>20.5</v>
      </c>
      <c r="E3">
        <v>20.25</v>
      </c>
      <c r="F3">
        <v>20.25</v>
      </c>
      <c r="G3">
        <v>20.75</v>
      </c>
      <c r="H3">
        <v>21.25</v>
      </c>
    </row>
    <row r="4" spans="1:21" x14ac:dyDescent="0.25">
      <c r="A4">
        <v>19.75</v>
      </c>
      <c r="B4">
        <v>20.25</v>
      </c>
      <c r="C4">
        <v>20.25</v>
      </c>
      <c r="D4">
        <v>20.25</v>
      </c>
      <c r="E4">
        <v>20.25</v>
      </c>
      <c r="F4">
        <v>20.25</v>
      </c>
      <c r="G4">
        <v>20.25</v>
      </c>
      <c r="H4">
        <v>20.75</v>
      </c>
    </row>
    <row r="5" spans="1:21" x14ac:dyDescent="0.25">
      <c r="A5">
        <v>20.5</v>
      </c>
      <c r="B5">
        <v>20.25</v>
      </c>
      <c r="C5">
        <v>20.75</v>
      </c>
      <c r="D5">
        <v>20.75</v>
      </c>
      <c r="E5">
        <v>20.25</v>
      </c>
      <c r="F5">
        <v>20.25</v>
      </c>
      <c r="G5">
        <v>20.25</v>
      </c>
      <c r="H5">
        <v>20</v>
      </c>
    </row>
    <row r="6" spans="1:21" x14ac:dyDescent="0.25">
      <c r="A6">
        <v>20</v>
      </c>
      <c r="B6">
        <v>20.5</v>
      </c>
      <c r="C6">
        <v>20.5</v>
      </c>
      <c r="D6">
        <v>20.5</v>
      </c>
      <c r="E6">
        <v>20.25</v>
      </c>
      <c r="F6">
        <v>19.5</v>
      </c>
      <c r="G6">
        <v>21</v>
      </c>
      <c r="H6">
        <v>20.5</v>
      </c>
    </row>
    <row r="7" spans="1:21" x14ac:dyDescent="0.25">
      <c r="A7">
        <v>20</v>
      </c>
      <c r="B7">
        <v>19.75</v>
      </c>
      <c r="C7">
        <v>21.25</v>
      </c>
      <c r="D7">
        <v>21.25</v>
      </c>
      <c r="E7">
        <v>20.5</v>
      </c>
      <c r="F7">
        <v>19.75</v>
      </c>
      <c r="G7">
        <v>19.5</v>
      </c>
      <c r="H7">
        <v>19.5</v>
      </c>
      <c r="L7" s="1" t="s">
        <v>0</v>
      </c>
      <c r="M7">
        <f>AVERAGE(A1:H8)</f>
        <v>20.37109375</v>
      </c>
    </row>
    <row r="8" spans="1:21" x14ac:dyDescent="0.25">
      <c r="A8">
        <v>20</v>
      </c>
      <c r="B8">
        <v>20.75</v>
      </c>
      <c r="C8">
        <v>20.75</v>
      </c>
      <c r="D8">
        <v>21.25</v>
      </c>
      <c r="E8">
        <v>21.25</v>
      </c>
      <c r="F8">
        <v>20</v>
      </c>
      <c r="G8">
        <v>20.25</v>
      </c>
      <c r="H8">
        <v>20.25</v>
      </c>
      <c r="L8" s="1" t="s">
        <v>1</v>
      </c>
      <c r="M8">
        <f>SUM(A1:H8)</f>
        <v>1303.75</v>
      </c>
    </row>
    <row r="9" spans="1:21" x14ac:dyDescent="0.25">
      <c r="L9" t="s">
        <v>2</v>
      </c>
      <c r="M9">
        <f>MIN(A1:H8)</f>
        <v>19</v>
      </c>
    </row>
    <row r="10" spans="1:21" x14ac:dyDescent="0.25">
      <c r="L10" t="s">
        <v>3</v>
      </c>
      <c r="M10">
        <f>MAX(A1:H8)</f>
        <v>21.5</v>
      </c>
    </row>
    <row r="11" spans="1:21" x14ac:dyDescent="0.25">
      <c r="L11" s="1" t="s">
        <v>5</v>
      </c>
      <c r="M11">
        <f>M8*M8</f>
        <v>1699764.0625</v>
      </c>
    </row>
    <row r="12" spans="1:21" x14ac:dyDescent="0.25">
      <c r="L12" s="1" t="s">
        <v>7</v>
      </c>
      <c r="M12">
        <f>M11/64</f>
        <v>26558.8134765625</v>
      </c>
    </row>
    <row r="13" spans="1:21" x14ac:dyDescent="0.25">
      <c r="L13" s="1" t="s">
        <v>4</v>
      </c>
      <c r="M13">
        <f>SUMSQ(A1:H8)</f>
        <v>26575.8125</v>
      </c>
    </row>
    <row r="14" spans="1:21" x14ac:dyDescent="0.25">
      <c r="L14" s="1" t="s">
        <v>6</v>
      </c>
      <c r="M14">
        <f>(M13-M12)</f>
        <v>16.9990234375</v>
      </c>
    </row>
    <row r="16" spans="1:21" x14ac:dyDescent="0.25">
      <c r="R16">
        <v>2</v>
      </c>
      <c r="T16" t="s">
        <v>0</v>
      </c>
      <c r="U16">
        <f>AVERAGE(R16:R19)</f>
        <v>5</v>
      </c>
    </row>
    <row r="17" spans="18:21" x14ac:dyDescent="0.25">
      <c r="R17">
        <v>4</v>
      </c>
      <c r="T17" t="s">
        <v>1</v>
      </c>
      <c r="U17">
        <f>SUM(R16:R19)</f>
        <v>20</v>
      </c>
    </row>
    <row r="18" spans="18:21" x14ac:dyDescent="0.25">
      <c r="R18">
        <v>6</v>
      </c>
      <c r="T18" t="s">
        <v>5</v>
      </c>
      <c r="U18">
        <f>U17*U17</f>
        <v>400</v>
      </c>
    </row>
    <row r="19" spans="18:21" x14ac:dyDescent="0.25">
      <c r="R19">
        <v>8</v>
      </c>
      <c r="T19" t="s">
        <v>9</v>
      </c>
      <c r="U19">
        <f>U18/4</f>
        <v>100</v>
      </c>
    </row>
    <row r="20" spans="18:21" x14ac:dyDescent="0.25">
      <c r="T20" t="s">
        <v>8</v>
      </c>
      <c r="U20">
        <f>SUMSQ(R16:R19)</f>
        <v>120</v>
      </c>
    </row>
    <row r="21" spans="18:21" x14ac:dyDescent="0.25">
      <c r="U21">
        <f>_xlfn.STDEV.P(R16:R19)</f>
        <v>2.2360679774997898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Tennyson Renner</dc:creator>
  <cp:lastModifiedBy>Tennyson Renner</cp:lastModifiedBy>
  <dcterms:created xsi:type="dcterms:W3CDTF">2021-10-10T21:35:17Z</dcterms:created>
  <dcterms:modified xsi:type="dcterms:W3CDTF">2021-11-07T21:03:19Z</dcterms:modified>
</cp:coreProperties>
</file>